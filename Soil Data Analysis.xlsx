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Omi_7230\OneDrive\Documents\OneDrive\Desktop\Soil Data Analysis\"/>
    </mc:Choice>
  </mc:AlternateContent>
  <bookViews>
    <workbookView xWindow="0" yWindow="0" windowWidth="19200" windowHeight="7190" activeTab="1"/>
  </bookViews>
  <sheets>
    <sheet name="Soil Data" sheetId="1" r:id="rId1"/>
    <sheet name="Dashboard" sheetId="4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C5" i="4"/>
  <c r="C6" i="4"/>
  <c r="C3" i="4"/>
  <c r="D9" i="1"/>
  <c r="D3" i="1"/>
  <c r="D17" i="1"/>
  <c r="D12" i="1"/>
  <c r="D19" i="1"/>
  <c r="D25" i="1"/>
  <c r="D6" i="1"/>
  <c r="D28" i="1"/>
  <c r="D18" i="1"/>
  <c r="D30" i="1"/>
  <c r="D22" i="1"/>
  <c r="D21" i="1"/>
  <c r="D13" i="1"/>
  <c r="D26" i="1"/>
  <c r="D20" i="1"/>
  <c r="D5" i="1"/>
  <c r="D2" i="1"/>
  <c r="D7" i="1"/>
  <c r="D23" i="1"/>
  <c r="D11" i="1"/>
  <c r="D16" i="1"/>
  <c r="D27" i="1"/>
  <c r="D10" i="1"/>
  <c r="D29" i="1"/>
  <c r="D31" i="1"/>
  <c r="D8" i="1"/>
  <c r="D14" i="1"/>
  <c r="D4" i="1"/>
  <c r="D15" i="1"/>
  <c r="C4" i="4" l="1"/>
</calcChain>
</file>

<file path=xl/sharedStrings.xml><?xml version="1.0" encoding="utf-8"?>
<sst xmlns="http://schemas.openxmlformats.org/spreadsheetml/2006/main" count="113" uniqueCount="65">
  <si>
    <t>District</t>
  </si>
  <si>
    <t>pH</t>
  </si>
  <si>
    <t>Bagalkot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</si>
  <si>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</si>
  <si>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</si>
  <si>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</si>
  <si>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</si>
  <si>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</si>
  <si>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</si>
  <si>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</si>
  <si>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</si>
  <si>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</si>
  <si>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</si>
  <si>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</si>
  <si>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</si>
  <si>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</si>
  <si>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</si>
  <si>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</si>
  <si>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</si>
  <si>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</si>
  <si>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</si>
  <si>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</si>
  <si>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</si>
  <si>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</si>
  <si>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</si>
  <si>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</si>
  <si>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</si>
  <si>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</si>
  <si>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</si>
  <si>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</si>
  <si>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</si>
  <si>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</si>
  <si>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</si>
  <si>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Main soil type</t>
  </si>
  <si>
    <t>black soil</t>
  </si>
  <si>
    <t>red soil</t>
  </si>
  <si>
    <t>lateritic soil</t>
  </si>
  <si>
    <t xml:space="preserve">lateritic red soil </t>
  </si>
  <si>
    <t>red and black soil</t>
  </si>
  <si>
    <t>7.0-8.5</t>
  </si>
  <si>
    <t>6.5-7.5</t>
  </si>
  <si>
    <t>6.0-7.5</t>
  </si>
  <si>
    <t>6.0-7.0</t>
  </si>
  <si>
    <t>7.5-8.5</t>
  </si>
  <si>
    <t>5.0-6.5</t>
  </si>
  <si>
    <t>6.0-8.0</t>
  </si>
  <si>
    <t>4.5-5.9</t>
  </si>
  <si>
    <t>7.0-8.0</t>
  </si>
  <si>
    <t>5.5-6.5</t>
  </si>
  <si>
    <t>6.5-6.0</t>
  </si>
  <si>
    <t>5.0-6.9</t>
  </si>
  <si>
    <t>4.5-6.0</t>
  </si>
  <si>
    <t>Nitrogen (kg/ha)</t>
  </si>
  <si>
    <t>Potassium (kg/ha)</t>
  </si>
  <si>
    <t>avg ph</t>
  </si>
  <si>
    <t>KARNATKA SOIL NUTRIENT DASHBOARD</t>
  </si>
  <si>
    <t>Total Districts</t>
  </si>
  <si>
    <t>Average ph</t>
  </si>
  <si>
    <t>Average Nitrogen</t>
  </si>
  <si>
    <t>Average Potassium</t>
  </si>
  <si>
    <t>Most Common Soil Type</t>
  </si>
  <si>
    <t>Grand Total</t>
  </si>
  <si>
    <t>Row Labels</t>
  </si>
  <si>
    <t>Red soil</t>
  </si>
  <si>
    <t>Count of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</si>
</sst>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[Soil Data Analysis.xlsx]Dashboard!PivotTable5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Soil Type Distribution</a:t>
            </a:r>
          </a:p>
        </c:rich>
      </c:tx>
      <c:layout>
        <c:manualLayout>
          <c:xMode val="edge"/>
          <c:yMode val="edge"/>
          <c:x val="0.29429155730533679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Dashboard!$B$10:$B$15</c:f>
              <c:strCache>
                <c:ptCount val="5"/>
                <c:pt idx="0">
                  <c:v>black soil</c:v>
                </c:pt>
                <c:pt idx="1">
                  <c:v>lateritic red soil </c:v>
                </c:pt>
                <c:pt idx="2">
                  <c:v>lateritic soil</c:v>
                </c:pt>
                <c:pt idx="3">
                  <c:v>red and black soil</c:v>
                </c:pt>
                <c:pt idx="4">
                  <c:v>red soil</c:v>
                </c:pt>
              </c:strCache>
            </c:strRef>
          </c:cat>
          <c:val>
            <c:numRef>
              <c:f>Dashboard!$C$10:$C$15</c:f>
              <c:numCache>
                <c:formatCode>General</c:formatCode>
                <c:ptCount val="5"/>
                <c:pt idx="0">
                  <c:v>9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2">
            <a:lumMod val="67000"/>
          </a:schemeClr>
        </a:gs>
        <a:gs pos="48000">
          <a:schemeClr val="accent2">
            <a:lumMod val="97000"/>
            <a:lumOff val="3000"/>
          </a:schemeClr>
        </a:gs>
        <a:gs pos="100000">
          <a:schemeClr val="accent2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Top 10 Districts - Nitrogen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'Soil Data'!$A$2:$A$11</c:f>
              <c:strCache>
                <c:ptCount val="10"/>
                <c:pt idx="0">
                  <c:v>Kolar</c:v>
                </c:pt>
                <c:pt idx="1">
                  <c:v>Belagavi</c:v>
                </c:pt>
                <c:pt idx="2">
                  <c:v>Yadgir</c:v>
                </c:pt>
                <c:pt idx="3">
                  <c:v>Kalaburagi</c:v>
                </c:pt>
                <c:pt idx="4">
                  <c:v>Chikkaballapura</c:v>
                </c:pt>
                <c:pt idx="5">
                  <c:v>Koppal</c:v>
                </c:pt>
                <c:pt idx="6">
                  <c:v>Vijayanagara</c:v>
                </c:pt>
                <c:pt idx="7">
                  <c:v>Ballari</c:v>
                </c:pt>
                <c:pt idx="8">
                  <c:v>Tumakuru</c:v>
                </c:pt>
                <c:pt idx="9">
                  <c:v>Raichur</c:v>
                </c:pt>
              </c:strCache>
            </c:strRef>
          </c:cat>
          <c:val>
            <c:numRef>
              <c:f>'Soil Data'!$E$2:$E$11</c:f>
              <c:numCache>
                <c:formatCode>General</c:formatCode>
                <c:ptCount val="10"/>
                <c:pt idx="0">
                  <c:v>162</c:v>
                </c:pt>
                <c:pt idx="1">
                  <c:v>168</c:v>
                </c:pt>
                <c:pt idx="2">
                  <c:v>174</c:v>
                </c:pt>
                <c:pt idx="3">
                  <c:v>178</c:v>
                </c:pt>
                <c:pt idx="4">
                  <c:v>186</c:v>
                </c:pt>
                <c:pt idx="5">
                  <c:v>188</c:v>
                </c:pt>
                <c:pt idx="6">
                  <c:v>190</c:v>
                </c:pt>
                <c:pt idx="7">
                  <c:v>192</c:v>
                </c:pt>
                <c:pt idx="8">
                  <c:v>194</c:v>
                </c:pt>
                <c:pt idx="9">
                  <c:v>196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220168"/>
        <c:axId val="318787840"/>
      </c:barChart>
      <c:catAx>
        <c:axId val="31722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87840"/>
        <c:crosses val="autoZero"/>
        <c:auto val="1"/>
        <c:lblAlgn val="ctr"/>
        <c:lblOffset val="100"/>
        <c:noMultiLvlLbl val="0"/>
      </c:catAx>
      <c:valAx>
        <c:axId val="3187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2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lumMod val="0"/>
            <a:lumOff val="100000"/>
          </a:schemeClr>
        </a:gs>
        <a:gs pos="35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Top</a:t>
            </a:r>
            <a:r>
              <a:rPr lang="en-IN" sz="1800" b="1" baseline="0"/>
              <a:t> 10 Districts - Potassium</a:t>
            </a:r>
            <a:endParaRPr lang="en-IN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'Soil Data'!$A$2:$A$11</c:f>
              <c:strCache>
                <c:ptCount val="10"/>
                <c:pt idx="0">
                  <c:v>Kolar</c:v>
                </c:pt>
                <c:pt idx="1">
                  <c:v>Belagavi</c:v>
                </c:pt>
                <c:pt idx="2">
                  <c:v>Yadgir</c:v>
                </c:pt>
                <c:pt idx="3">
                  <c:v>Kalaburagi</c:v>
                </c:pt>
                <c:pt idx="4">
                  <c:v>Chikkaballapura</c:v>
                </c:pt>
                <c:pt idx="5">
                  <c:v>Koppal</c:v>
                </c:pt>
                <c:pt idx="6">
                  <c:v>Vijayanagara</c:v>
                </c:pt>
                <c:pt idx="7">
                  <c:v>Ballari</c:v>
                </c:pt>
                <c:pt idx="8">
                  <c:v>Tumakuru</c:v>
                </c:pt>
                <c:pt idx="9">
                  <c:v>Raichur</c:v>
                </c:pt>
              </c:strCache>
            </c:strRef>
          </c:cat>
          <c:val>
            <c:numRef>
              <c:f>'Soil Data'!$F$2:$F$11</c:f>
              <c:numCache>
                <c:formatCode>General</c:formatCode>
                <c:ptCount val="10"/>
                <c:pt idx="0">
                  <c:v>6.5</c:v>
                </c:pt>
                <c:pt idx="1">
                  <c:v>15</c:v>
                </c:pt>
                <c:pt idx="2">
                  <c:v>6.8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8.1999999999999993</c:v>
                </c:pt>
                <c:pt idx="8">
                  <c:v>8.5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703144"/>
        <c:axId val="318803520"/>
      </c:barChart>
      <c:catAx>
        <c:axId val="20770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03520"/>
        <c:crosses val="autoZero"/>
        <c:auto val="1"/>
        <c:lblAlgn val="ctr"/>
        <c:lblOffset val="100"/>
        <c:noMultiLvlLbl val="0"/>
      </c:catAx>
      <c:valAx>
        <c:axId val="3188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6">
            <a:lumMod val="67000"/>
          </a:schemeClr>
        </a:gs>
        <a:gs pos="48000">
          <a:schemeClr val="accent6">
            <a:lumMod val="97000"/>
            <a:lumOff val="3000"/>
          </a:schemeClr>
        </a:gs>
        <a:gs pos="100000">
          <a:schemeClr val="accent6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ph</a:t>
            </a:r>
            <a:r>
              <a:rPr lang="en-IN" sz="2000" b="1" baseline="0"/>
              <a:t> vs Nitrogen scatter</a:t>
            </a:r>
            <a:endParaRPr lang="en-IN" sz="2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'Soil Data'!$D$2:$D$32</c:f>
              <c:numCache>
                <c:formatCode>General</c:formatCode>
                <c:ptCount val="31"/>
                <c:pt idx="0">
                  <c:v>6.5</c:v>
                </c:pt>
                <c:pt idx="1">
                  <c:v>6.75</c:v>
                </c:pt>
                <c:pt idx="2">
                  <c:v>7.75</c:v>
                </c:pt>
                <c:pt idx="3">
                  <c:v>8</c:v>
                </c:pt>
                <c:pt idx="4">
                  <c:v>6.5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6.75</c:v>
                </c:pt>
                <c:pt idx="9">
                  <c:v>7.5</c:v>
                </c:pt>
                <c:pt idx="10">
                  <c:v>6.5</c:v>
                </c:pt>
                <c:pt idx="11">
                  <c:v>7.75</c:v>
                </c:pt>
                <c:pt idx="12">
                  <c:v>8</c:v>
                </c:pt>
                <c:pt idx="13">
                  <c:v>7.75</c:v>
                </c:pt>
                <c:pt idx="14">
                  <c:v>6.5</c:v>
                </c:pt>
                <c:pt idx="15">
                  <c:v>6.5</c:v>
                </c:pt>
                <c:pt idx="16">
                  <c:v>7</c:v>
                </c:pt>
                <c:pt idx="17">
                  <c:v>8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</c:v>
                </c:pt>
                <c:pt idx="22">
                  <c:v>7</c:v>
                </c:pt>
                <c:pt idx="23">
                  <c:v>6.75</c:v>
                </c:pt>
                <c:pt idx="24">
                  <c:v>6</c:v>
                </c:pt>
                <c:pt idx="25">
                  <c:v>5.95</c:v>
                </c:pt>
                <c:pt idx="26">
                  <c:v>5.75</c:v>
                </c:pt>
                <c:pt idx="27">
                  <c:v>5.25</c:v>
                </c:pt>
                <c:pt idx="28">
                  <c:v>5.2</c:v>
                </c:pt>
                <c:pt idx="29">
                  <c:v>5.75</c:v>
                </c:pt>
                <c:pt idx="30">
                  <c:v>6.25</c:v>
                </c:pt>
              </c:numCache>
            </c:numRef>
          </c:xVal>
          <c:yVal>
            <c:numRef>
              <c:f>'Soil Data'!$E$2:$E$32</c:f>
              <c:numCache>
                <c:formatCode>General</c:formatCode>
                <c:ptCount val="31"/>
                <c:pt idx="0">
                  <c:v>162</c:v>
                </c:pt>
                <c:pt idx="1">
                  <c:v>168</c:v>
                </c:pt>
                <c:pt idx="2">
                  <c:v>174</c:v>
                </c:pt>
                <c:pt idx="3">
                  <c:v>178</c:v>
                </c:pt>
                <c:pt idx="4">
                  <c:v>186</c:v>
                </c:pt>
                <c:pt idx="5">
                  <c:v>188</c:v>
                </c:pt>
                <c:pt idx="6">
                  <c:v>190</c:v>
                </c:pt>
                <c:pt idx="7">
                  <c:v>192</c:v>
                </c:pt>
                <c:pt idx="8">
                  <c:v>194</c:v>
                </c:pt>
                <c:pt idx="9">
                  <c:v>196</c:v>
                </c:pt>
                <c:pt idx="10">
                  <c:v>198</c:v>
                </c:pt>
                <c:pt idx="11">
                  <c:v>204</c:v>
                </c:pt>
                <c:pt idx="12">
                  <c:v>208</c:v>
                </c:pt>
                <c:pt idx="13">
                  <c:v>218</c:v>
                </c:pt>
                <c:pt idx="14">
                  <c:v>218</c:v>
                </c:pt>
                <c:pt idx="15">
                  <c:v>224</c:v>
                </c:pt>
                <c:pt idx="16">
                  <c:v>226</c:v>
                </c:pt>
                <c:pt idx="17">
                  <c:v>236</c:v>
                </c:pt>
                <c:pt idx="18">
                  <c:v>238</c:v>
                </c:pt>
                <c:pt idx="19">
                  <c:v>242</c:v>
                </c:pt>
                <c:pt idx="20">
                  <c:v>248</c:v>
                </c:pt>
                <c:pt idx="21">
                  <c:v>272</c:v>
                </c:pt>
                <c:pt idx="22">
                  <c:v>296</c:v>
                </c:pt>
                <c:pt idx="23">
                  <c:v>312</c:v>
                </c:pt>
                <c:pt idx="24">
                  <c:v>334</c:v>
                </c:pt>
                <c:pt idx="25">
                  <c:v>364</c:v>
                </c:pt>
                <c:pt idx="26">
                  <c:v>378</c:v>
                </c:pt>
                <c:pt idx="27">
                  <c:v>388</c:v>
                </c:pt>
                <c:pt idx="28">
                  <c:v>396</c:v>
                </c:pt>
                <c:pt idx="29">
                  <c:v>402</c:v>
                </c:pt>
                <c:pt idx="30">
                  <c:v>442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782312"/>
        <c:axId val="317781136"/>
      </c:scatterChart>
      <c:valAx>
        <c:axId val="31778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81136"/>
        <c:crosses val="autoZero"/>
        <c:crossBetween val="midCat"/>
      </c:valAx>
      <c:valAx>
        <c:axId val="31778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82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4">
            <a:lumMod val="67000"/>
          </a:schemeClr>
        </a:gs>
        <a:gs pos="48000">
          <a:schemeClr val="accent4">
            <a:lumMod val="97000"/>
            <a:lumOff val="3000"/>
          </a:schemeClr>
        </a:gs>
        <a:gs pos="100000">
          <a:schemeClr val="accent4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All</a:t>
            </a:r>
            <a:r>
              <a:rPr lang="en-IN" sz="2000" b="1" baseline="0"/>
              <a:t> Districts by ph</a:t>
            </a:r>
            <a:endParaRPr lang="en-IN" sz="2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3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</c:dPt>
          <c:cat>
            <c:strRef>
              <c:f>'Soil Data'!$A$2:$A$32</c:f>
              <c:strCache>
                <c:ptCount val="31"/>
                <c:pt idx="0">
                  <c:v>Kolar</c:v>
                </c:pt>
                <c:pt idx="1">
                  <c:v>Belagavi</c:v>
                </c:pt>
                <c:pt idx="2">
                  <c:v>Yadgir</c:v>
                </c:pt>
                <c:pt idx="3">
                  <c:v>Kalaburagi</c:v>
                </c:pt>
                <c:pt idx="4">
                  <c:v>Chikkaballapura</c:v>
                </c:pt>
                <c:pt idx="5">
                  <c:v>Koppal</c:v>
                </c:pt>
                <c:pt idx="6">
                  <c:v>Vijayanagara</c:v>
                </c:pt>
                <c:pt idx="7">
                  <c:v>Ballari</c:v>
                </c:pt>
                <c:pt idx="8">
                  <c:v>Tumakuru</c:v>
                </c:pt>
                <c:pt idx="9">
                  <c:v>Raichur</c:v>
                </c:pt>
                <c:pt idx="10">
                  <c:v>Bengaluru Urban</c:v>
                </c:pt>
                <c:pt idx="11">
                  <c:v>Gadag</c:v>
                </c:pt>
                <c:pt idx="12">
                  <c:v>Vijayapura</c:v>
                </c:pt>
                <c:pt idx="13">
                  <c:v>Bagalkot</c:v>
                </c:pt>
                <c:pt idx="14">
                  <c:v>Ramanagara</c:v>
                </c:pt>
                <c:pt idx="15">
                  <c:v>Bengaluru Rural</c:v>
                </c:pt>
                <c:pt idx="16">
                  <c:v>Chitradurga</c:v>
                </c:pt>
                <c:pt idx="17">
                  <c:v>Bidar</c:v>
                </c:pt>
                <c:pt idx="18">
                  <c:v>Haveri</c:v>
                </c:pt>
                <c:pt idx="19">
                  <c:v>Dharwad</c:v>
                </c:pt>
                <c:pt idx="20">
                  <c:v>Davanagere</c:v>
                </c:pt>
                <c:pt idx="21">
                  <c:v>Mandya</c:v>
                </c:pt>
                <c:pt idx="22">
                  <c:v>Mysuru</c:v>
                </c:pt>
                <c:pt idx="23">
                  <c:v>Chamarajanagara</c:v>
                </c:pt>
                <c:pt idx="24">
                  <c:v>Hassan</c:v>
                </c:pt>
                <c:pt idx="25">
                  <c:v>Shivamogga</c:v>
                </c:pt>
                <c:pt idx="26">
                  <c:v>Chikkamagaluru</c:v>
                </c:pt>
                <c:pt idx="27">
                  <c:v>Udupi</c:v>
                </c:pt>
                <c:pt idx="28">
                  <c:v>Dakshina Kannada</c:v>
                </c:pt>
                <c:pt idx="29">
                  <c:v>Uttara Kannada</c:v>
                </c:pt>
                <c:pt idx="30">
                  <c:v>Kodagu</c:v>
                </c:pt>
              </c:strCache>
            </c:strRef>
          </c:cat>
          <c:val>
            <c:numRef>
              <c:f>'Soil Data'!$D$2:$D$32</c:f>
              <c:numCache>
                <c:formatCode>General</c:formatCode>
                <c:ptCount val="31"/>
                <c:pt idx="0">
                  <c:v>6.5</c:v>
                </c:pt>
                <c:pt idx="1">
                  <c:v>6.75</c:v>
                </c:pt>
                <c:pt idx="2">
                  <c:v>7.75</c:v>
                </c:pt>
                <c:pt idx="3">
                  <c:v>8</c:v>
                </c:pt>
                <c:pt idx="4">
                  <c:v>6.5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6.75</c:v>
                </c:pt>
                <c:pt idx="9">
                  <c:v>7.5</c:v>
                </c:pt>
                <c:pt idx="10">
                  <c:v>6.5</c:v>
                </c:pt>
                <c:pt idx="11">
                  <c:v>7.75</c:v>
                </c:pt>
                <c:pt idx="12">
                  <c:v>8</c:v>
                </c:pt>
                <c:pt idx="13">
                  <c:v>7.75</c:v>
                </c:pt>
                <c:pt idx="14">
                  <c:v>6.5</c:v>
                </c:pt>
                <c:pt idx="15">
                  <c:v>6.5</c:v>
                </c:pt>
                <c:pt idx="16">
                  <c:v>7</c:v>
                </c:pt>
                <c:pt idx="17">
                  <c:v>8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</c:v>
                </c:pt>
                <c:pt idx="22">
                  <c:v>7</c:v>
                </c:pt>
                <c:pt idx="23">
                  <c:v>6.75</c:v>
                </c:pt>
                <c:pt idx="24">
                  <c:v>6</c:v>
                </c:pt>
                <c:pt idx="25">
                  <c:v>5.95</c:v>
                </c:pt>
                <c:pt idx="26">
                  <c:v>5.75</c:v>
                </c:pt>
                <c:pt idx="27">
                  <c:v>5.25</c:v>
                </c:pt>
                <c:pt idx="28">
                  <c:v>5.2</c:v>
                </c:pt>
                <c:pt idx="29">
                  <c:v>5.75</c:v>
                </c:pt>
                <c:pt idx="30">
                  <c:v>6.25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781920"/>
        <c:axId val="208520400"/>
      </c:barChart>
      <c:catAx>
        <c:axId val="31778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0400"/>
        <c:crosses val="autoZero"/>
        <c:auto val="1"/>
        <c:lblAlgn val="ctr"/>
        <c:lblOffset val="100"/>
        <c:noMultiLvlLbl val="0"/>
      </c:catAx>
      <c:valAx>
        <c:axId val="2085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8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3">
            <a:lumMod val="67000"/>
          </a:schemeClr>
        </a:gs>
        <a:gs pos="48000">
          <a:schemeClr val="accent3">
            <a:lumMod val="97000"/>
            <a:lumOff val="3000"/>
          </a:schemeClr>
        </a:gs>
        <a:gs pos="100000">
          <a:schemeClr val="accent3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212725</xdr:colOff>
      <xdr:row>2</xdr:row>
      <xdr:rowOff>25400</xdr:rowOff>
    </xdr:from>
    <xdr:to>
      <xdr:col>8</xdr:col>
      <xdr:colOff>502285</xdr:colOff>
      <xdr:row>14</xdr:row>
      <xdr:rowOff>146050</xdr:rowOff>
    </xdr:to>
    <xdr:graphicFrame macro="">
      <xdr:nvGraphicFramePr>
        <xdr:cNvPr id="9" name="Chart 8"/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22226</xdr:colOff>
      <xdr:row>2</xdr:row>
      <xdr:rowOff>19050</xdr:rowOff>
    </xdr:from>
    <xdr:to>
      <xdr:col>14</xdr:col>
      <xdr:colOff>584200</xdr:colOff>
      <xdr:row>14</xdr:row>
      <xdr:rowOff>139700</xdr:rowOff>
    </xdr:to>
    <xdr:graphicFrame macro="">
      <xdr:nvGraphicFramePr>
        <xdr:cNvPr id="1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145142</xdr:colOff>
      <xdr:row>15</xdr:row>
      <xdr:rowOff>121482</xdr:rowOff>
    </xdr:from>
    <xdr:to>
      <xdr:col>8</xdr:col>
      <xdr:colOff>500443</xdr:colOff>
      <xdr:row>34</xdr:row>
      <xdr:rowOff>163285</xdr:rowOff>
    </xdr:to>
    <xdr:graphicFrame macro="">
      <xdr:nvGraphicFramePr>
        <xdr:cNvPr id="1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83006</xdr:colOff>
      <xdr:row>2</xdr:row>
      <xdr:rowOff>29481</xdr:rowOff>
    </xdr:from>
    <xdr:to>
      <xdr:col>20</xdr:col>
      <xdr:colOff>364628</xdr:colOff>
      <xdr:row>14</xdr:row>
      <xdr:rowOff>126999</xdr:rowOff>
    </xdr:to>
    <xdr:graphicFrame macro="">
      <xdr:nvGraphicFramePr>
        <xdr:cNvPr id="12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4761</xdr:colOff>
      <xdr:row>15</xdr:row>
      <xdr:rowOff>125411</xdr:rowOff>
    </xdr:from>
    <xdr:to>
      <xdr:col>20</xdr:col>
      <xdr:colOff>408213</xdr:colOff>
      <xdr:row>35</xdr:row>
      <xdr:rowOff>0</xdr:rowOff>
    </xdr:to>
    <xdr:graphicFrame macro="">
      <xdr:nvGraphicFramePr>
        <xdr:cNvPr id="1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mkar Dhobale" refreshedDate="45995.942437384256" createdVersion="5" refreshedVersion="5" minRefreshableVersion="3" recordCount="31">
  <cacheSource type="worksheet">
    <worksheetSource ref="A1:F32" sheet="Soil Data"/>
  </cacheSource>
  <cacheFields count="6">
    <cacheField name="District" numFmtId="0">
      <sharedItems/>
    </cacheField>
    <cacheField name="Main soil type" numFmtId="0">
      <sharedItems count="5">
        <s v="black soil"/>
        <s v="red soil"/>
        <s v="lateritic soil"/>
        <s v="lateritic red soil "/>
        <s v="red and black soil"/>
      </sharedItems>
    </cacheField>
    <cacheField name="pH" numFmtId="0">
      <sharedItems containsMixedTypes="1" containsNumber="1" containsInteger="1" minValue="7" maxValue="7"/>
    </cacheField>
    <cacheField name="avg ph" numFmtId="0">
      <sharedItems containsSemiMixedTypes="0" containsString="0" containsNumber="1" minValue="5.2" maxValue="8"/>
    </cacheField>
    <cacheField name="Nitrogen (kg/ha)" numFmtId="0">
      <sharedItems containsSemiMixedTypes="0" containsString="0" containsNumber="1" containsInteger="1" minValue="162" maxValue="442"/>
    </cacheField>
    <cacheField name="Potassium (kg/ha)" numFmtId="0">
      <sharedItems containsSemiMixedTypes="0" containsString="0" containsNumber="1" minValue="6.5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s v="Bagalkot"/>
    <x v="0"/>
    <s v="7.0-8.5"/>
    <n v="7.75"/>
    <n v="218"/>
    <n v="12.5"/>
  </r>
  <r>
    <s v="Ballari"/>
    <x v="1"/>
    <s v="6.5-7.5"/>
    <n v="7"/>
    <n v="192"/>
    <n v="8.1999999999999993"/>
  </r>
  <r>
    <s v="Belagavi"/>
    <x v="0"/>
    <s v="6.0-7.5"/>
    <n v="6.75"/>
    <n v="168"/>
    <n v="15"/>
  </r>
  <r>
    <s v="Bengaluru Rural"/>
    <x v="1"/>
    <s v="6.0-7.0"/>
    <n v="6.5"/>
    <n v="224"/>
    <n v="10.5"/>
  </r>
  <r>
    <s v="Bengaluru Urban"/>
    <x v="2"/>
    <s v="6.0-7.0"/>
    <n v="6.5"/>
    <n v="198"/>
    <n v="9.8000000000000007"/>
  </r>
  <r>
    <s v="Bidar"/>
    <x v="3"/>
    <s v="7.5-8.5"/>
    <n v="8"/>
    <n v="236"/>
    <n v="11.2"/>
  </r>
  <r>
    <s v="Chamarajanagara"/>
    <x v="1"/>
    <s v="6.0-7.5"/>
    <n v="6.75"/>
    <n v="312"/>
    <n v="14.5"/>
  </r>
  <r>
    <s v="Chikkaballapura"/>
    <x v="1"/>
    <s v="6.0-7.0"/>
    <n v="6.5"/>
    <n v="186"/>
    <n v="7.5"/>
  </r>
  <r>
    <s v="Chikkamagaluru"/>
    <x v="2"/>
    <s v="5.0-6.5"/>
    <n v="5.75"/>
    <n v="378"/>
    <n v="18"/>
  </r>
  <r>
    <s v="Chitradurga"/>
    <x v="1"/>
    <s v="6.0-8.0"/>
    <n v="7"/>
    <n v="226"/>
    <n v="10"/>
  </r>
  <r>
    <s v="Dakshina Kannada"/>
    <x v="2"/>
    <s v="4.5-5.9"/>
    <n v="5.2"/>
    <n v="396"/>
    <n v="20.5"/>
  </r>
  <r>
    <s v="Davanagere"/>
    <x v="0"/>
    <s v="7.0-8.0"/>
    <n v="7.5"/>
    <n v="248"/>
    <n v="13"/>
  </r>
  <r>
    <s v="Dharwad"/>
    <x v="0"/>
    <s v="7.0-8.0"/>
    <n v="7.5"/>
    <n v="242"/>
    <n v="12.8"/>
  </r>
  <r>
    <s v="Gadag"/>
    <x v="0"/>
    <s v="7.0-8.5"/>
    <n v="7.75"/>
    <n v="204"/>
    <n v="9.5"/>
  </r>
  <r>
    <s v="Hassan"/>
    <x v="1"/>
    <s v="5.5-6.5"/>
    <n v="6"/>
    <n v="334"/>
    <n v="16.5"/>
  </r>
  <r>
    <s v="Haveri"/>
    <x v="0"/>
    <s v="7.0-8.0"/>
    <n v="7.5"/>
    <n v="238"/>
    <n v="11.8"/>
  </r>
  <r>
    <s v="Kalaburagi"/>
    <x v="0"/>
    <s v="7.5-8.5"/>
    <n v="8"/>
    <n v="178"/>
    <n v="7"/>
  </r>
  <r>
    <s v="Kodagu"/>
    <x v="2"/>
    <s v="6.5-6.0"/>
    <n v="6.25"/>
    <n v="442"/>
    <n v="22"/>
  </r>
  <r>
    <s v="Kolar"/>
    <x v="1"/>
    <s v="6.0-7.0"/>
    <n v="6.5"/>
    <n v="162"/>
    <n v="6.5"/>
  </r>
  <r>
    <s v="Koppal"/>
    <x v="1"/>
    <s v="6.5-7.5"/>
    <n v="7"/>
    <n v="188"/>
    <n v="8"/>
  </r>
  <r>
    <s v="Mandya"/>
    <x v="4"/>
    <s v="6.5-7.5"/>
    <n v="7"/>
    <n v="272"/>
    <n v="14"/>
  </r>
  <r>
    <s v="Mysuru"/>
    <x v="1"/>
    <n v="7"/>
    <n v="7"/>
    <n v="296"/>
    <n v="15.5"/>
  </r>
  <r>
    <s v="Raichur"/>
    <x v="0"/>
    <s v="7.0-8.0"/>
    <n v="7.5"/>
    <n v="196"/>
    <n v="9"/>
  </r>
  <r>
    <s v="Ramanagara"/>
    <x v="1"/>
    <s v="6.0-7.0"/>
    <n v="6.5"/>
    <n v="218"/>
    <n v="10.199999999999999"/>
  </r>
  <r>
    <s v="Shivamogga"/>
    <x v="2"/>
    <s v="5.0-6.9"/>
    <n v="5.95"/>
    <n v="364"/>
    <n v="19"/>
  </r>
  <r>
    <s v="Tumakuru"/>
    <x v="4"/>
    <s v="6.0-7.5"/>
    <n v="6.75"/>
    <n v="194"/>
    <n v="8.5"/>
  </r>
  <r>
    <s v="Udupi"/>
    <x v="2"/>
    <s v="4.5-6.0"/>
    <n v="5.25"/>
    <n v="388"/>
    <n v="21"/>
  </r>
  <r>
    <s v="Uttara Kannada"/>
    <x v="2"/>
    <s v="5.0-6.5"/>
    <n v="5.75"/>
    <n v="402"/>
    <n v="20"/>
  </r>
  <r>
    <s v="Vijayanagara"/>
    <x v="1"/>
    <s v="6.5-7.5"/>
    <n v="7"/>
    <n v="190"/>
    <n v="8.5"/>
  </r>
  <r>
    <s v="Vijayapura"/>
    <x v="0"/>
    <s v="7.5-8.5"/>
    <n v="8"/>
    <n v="208"/>
    <n v="7.8"/>
  </r>
  <r>
    <s v="Yadgir"/>
    <x v="1"/>
    <s v="7.0-8.5"/>
    <n v="7.75"/>
    <n v="174"/>
    <n v="6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B9:C15" firstHeaderRow="1" firstDataRow="1" firstDataCol="1"/>
  <pivotFields count="6">
    <pivotField dataField="1"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trict" fld="0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F32" totalsRowShown="0" headerRowDxfId="10" dataDxfId="8" headerRowBorderDxfId="9" tableBorderDxfId="7" totalsRowBorderDxfId="6">
  <autoFilter ref="A1:F32"/>
  <tableColumns count="6">
    <tableColumn id="1" name="District" dataDxfId="5"/>
    <tableColumn id="2" name="Main soil type" dataDxfId="4"/>
    <tableColumn id="3" name="pH" dataDxfId="3"/>
    <tableColumn id="4" name="avg ph" dataDxfId="2">
      <calculatedColumnFormula>(LEFT(C2,FIND("-",C2)-1)+MID(C2,FIND("-",C2)+1,10))/2</calculatedColumnFormula>
    </tableColumn>
    <tableColumn id="5" name="Nitrogen (kg/ha)" dataDxfId="1"/>
    <tableColumn id="6" name="Potassium (kg/ha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zoomScaleNormal="100" workbookViewId="0">
      <selection activeCell="H15" sqref="H15"/>
    </sheetView>
  </sheetViews>
  <sheetFormatPr defaultRowHeight="14.5" x14ac:dyDescent="0.35"/>
  <cols>
    <col min="1" max="1" width="17.36328125" customWidth="1"/>
    <col min="2" max="2" width="31.7265625" customWidth="1"/>
    <col min="4" max="4" width="11.7265625" customWidth="1"/>
    <col min="5" max="5" width="16.6328125" customWidth="1"/>
    <col min="6" max="6" width="18.08984375" customWidth="1"/>
  </cols>
  <sheetData>
    <row r="1" spans="1:6" x14ac:dyDescent="0.35">
      <c r="A1" s="11" t="s">
        <v>0</v>
      </c>
      <c r="B1" s="12" t="s">
        <v>33</v>
      </c>
      <c r="C1" s="12" t="s">
        <v>1</v>
      </c>
      <c r="D1" s="12" t="s">
        <v>54</v>
      </c>
      <c r="E1" s="12" t="s">
        <v>52</v>
      </c>
      <c r="F1" s="13" t="s">
        <v>53</v>
      </c>
    </row>
    <row r="2" spans="1:6" x14ac:dyDescent="0.35">
      <c r="A2" s="9" t="s">
        <v>20</v>
      </c>
      <c r="B2" s="8" t="s">
        <v>35</v>
      </c>
      <c r="C2" s="7" t="s">
        <v>42</v>
      </c>
      <c r="D2" s="7">
        <f t="shared" ref="D2:D23" si="0">(LEFT(C2,FIND("-",C2)-1)+MID(C2,FIND("-",C2)+1,10))/2</f>
        <v>6.5</v>
      </c>
      <c r="E2" s="7">
        <v>162</v>
      </c>
      <c r="F2" s="10">
        <v>6.5</v>
      </c>
    </row>
    <row r="3" spans="1:6" x14ac:dyDescent="0.35">
      <c r="A3" s="9" t="s">
        <v>4</v>
      </c>
      <c r="B3" s="8" t="s">
        <v>34</v>
      </c>
      <c r="C3" s="7" t="s">
        <v>41</v>
      </c>
      <c r="D3" s="7">
        <f t="shared" si="0"/>
        <v>6.75</v>
      </c>
      <c r="E3" s="7">
        <v>168</v>
      </c>
      <c r="F3" s="10">
        <v>15</v>
      </c>
    </row>
    <row r="4" spans="1:6" x14ac:dyDescent="0.35">
      <c r="A4" s="9" t="s">
        <v>32</v>
      </c>
      <c r="B4" s="8" t="s">
        <v>35</v>
      </c>
      <c r="C4" s="7" t="s">
        <v>39</v>
      </c>
      <c r="D4" s="7">
        <f t="shared" si="0"/>
        <v>7.75</v>
      </c>
      <c r="E4" s="7">
        <v>174</v>
      </c>
      <c r="F4" s="10">
        <v>6.8</v>
      </c>
    </row>
    <row r="5" spans="1:6" x14ac:dyDescent="0.35">
      <c r="A5" s="9" t="s">
        <v>18</v>
      </c>
      <c r="B5" s="8" t="s">
        <v>34</v>
      </c>
      <c r="C5" s="7" t="s">
        <v>43</v>
      </c>
      <c r="D5" s="7">
        <f t="shared" si="0"/>
        <v>8</v>
      </c>
      <c r="E5" s="7">
        <v>178</v>
      </c>
      <c r="F5" s="10">
        <v>7</v>
      </c>
    </row>
    <row r="6" spans="1:6" x14ac:dyDescent="0.35">
      <c r="A6" s="9" t="s">
        <v>9</v>
      </c>
      <c r="B6" s="8" t="s">
        <v>35</v>
      </c>
      <c r="C6" s="7" t="s">
        <v>42</v>
      </c>
      <c r="D6" s="7">
        <f t="shared" si="0"/>
        <v>6.5</v>
      </c>
      <c r="E6" s="7">
        <v>186</v>
      </c>
      <c r="F6" s="10">
        <v>7.5</v>
      </c>
    </row>
    <row r="7" spans="1:6" x14ac:dyDescent="0.35">
      <c r="A7" s="9" t="s">
        <v>21</v>
      </c>
      <c r="B7" s="8" t="s">
        <v>35</v>
      </c>
      <c r="C7" s="7" t="s">
        <v>40</v>
      </c>
      <c r="D7" s="7">
        <f t="shared" si="0"/>
        <v>7</v>
      </c>
      <c r="E7" s="7">
        <v>188</v>
      </c>
      <c r="F7" s="10">
        <v>8</v>
      </c>
    </row>
    <row r="8" spans="1:6" x14ac:dyDescent="0.35">
      <c r="A8" s="9" t="s">
        <v>30</v>
      </c>
      <c r="B8" s="8" t="s">
        <v>35</v>
      </c>
      <c r="C8" s="7" t="s">
        <v>40</v>
      </c>
      <c r="D8" s="7">
        <f t="shared" si="0"/>
        <v>7</v>
      </c>
      <c r="E8" s="7">
        <v>190</v>
      </c>
      <c r="F8" s="10">
        <v>8.5</v>
      </c>
    </row>
    <row r="9" spans="1:6" x14ac:dyDescent="0.35">
      <c r="A9" s="9" t="s">
        <v>3</v>
      </c>
      <c r="B9" s="8" t="s">
        <v>35</v>
      </c>
      <c r="C9" s="7" t="s">
        <v>40</v>
      </c>
      <c r="D9" s="7">
        <f t="shared" si="0"/>
        <v>7</v>
      </c>
      <c r="E9" s="7">
        <v>192</v>
      </c>
      <c r="F9" s="10">
        <v>8.1999999999999993</v>
      </c>
    </row>
    <row r="10" spans="1:6" x14ac:dyDescent="0.35">
      <c r="A10" s="9" t="s">
        <v>27</v>
      </c>
      <c r="B10" s="8" t="s">
        <v>38</v>
      </c>
      <c r="C10" s="7" t="s">
        <v>41</v>
      </c>
      <c r="D10" s="7">
        <f t="shared" si="0"/>
        <v>6.75</v>
      </c>
      <c r="E10" s="7">
        <v>194</v>
      </c>
      <c r="F10" s="10">
        <v>8.5</v>
      </c>
    </row>
    <row r="11" spans="1:6" x14ac:dyDescent="0.35">
      <c r="A11" s="9" t="s">
        <v>24</v>
      </c>
      <c r="B11" s="8" t="s">
        <v>34</v>
      </c>
      <c r="C11" s="7" t="s">
        <v>47</v>
      </c>
      <c r="D11" s="7">
        <f t="shared" si="0"/>
        <v>7.5</v>
      </c>
      <c r="E11" s="7">
        <v>196</v>
      </c>
      <c r="F11" s="10">
        <v>9</v>
      </c>
    </row>
    <row r="12" spans="1:6" x14ac:dyDescent="0.35">
      <c r="A12" s="9" t="s">
        <v>6</v>
      </c>
      <c r="B12" s="8" t="s">
        <v>36</v>
      </c>
      <c r="C12" s="7" t="s">
        <v>42</v>
      </c>
      <c r="D12" s="7">
        <f t="shared" si="0"/>
        <v>6.5</v>
      </c>
      <c r="E12" s="7">
        <v>198</v>
      </c>
      <c r="F12" s="10">
        <v>9.8000000000000007</v>
      </c>
    </row>
    <row r="13" spans="1:6" x14ac:dyDescent="0.35">
      <c r="A13" s="9" t="s">
        <v>15</v>
      </c>
      <c r="B13" s="8" t="s">
        <v>34</v>
      </c>
      <c r="C13" s="7" t="s">
        <v>39</v>
      </c>
      <c r="D13" s="7">
        <f t="shared" si="0"/>
        <v>7.75</v>
      </c>
      <c r="E13" s="7">
        <v>204</v>
      </c>
      <c r="F13" s="10">
        <v>9.5</v>
      </c>
    </row>
    <row r="14" spans="1:6" x14ac:dyDescent="0.35">
      <c r="A14" s="9" t="s">
        <v>31</v>
      </c>
      <c r="B14" s="8" t="s">
        <v>34</v>
      </c>
      <c r="C14" s="7" t="s">
        <v>43</v>
      </c>
      <c r="D14" s="7">
        <f t="shared" si="0"/>
        <v>8</v>
      </c>
      <c r="E14" s="7">
        <v>208</v>
      </c>
      <c r="F14" s="10">
        <v>7.8</v>
      </c>
    </row>
    <row r="15" spans="1:6" x14ac:dyDescent="0.35">
      <c r="A15" s="9" t="s">
        <v>2</v>
      </c>
      <c r="B15" s="8" t="s">
        <v>34</v>
      </c>
      <c r="C15" s="7" t="s">
        <v>39</v>
      </c>
      <c r="D15" s="7">
        <f t="shared" si="0"/>
        <v>7.75</v>
      </c>
      <c r="E15" s="7">
        <v>218</v>
      </c>
      <c r="F15" s="10">
        <v>12.5</v>
      </c>
    </row>
    <row r="16" spans="1:6" x14ac:dyDescent="0.35">
      <c r="A16" s="9" t="s">
        <v>25</v>
      </c>
      <c r="B16" s="8" t="s">
        <v>35</v>
      </c>
      <c r="C16" s="7" t="s">
        <v>42</v>
      </c>
      <c r="D16" s="7">
        <f t="shared" si="0"/>
        <v>6.5</v>
      </c>
      <c r="E16" s="7">
        <v>218</v>
      </c>
      <c r="F16" s="10">
        <v>10.199999999999999</v>
      </c>
    </row>
    <row r="17" spans="1:6" x14ac:dyDescent="0.35">
      <c r="A17" s="9" t="s">
        <v>5</v>
      </c>
      <c r="B17" s="8" t="s">
        <v>35</v>
      </c>
      <c r="C17" s="7" t="s">
        <v>42</v>
      </c>
      <c r="D17" s="7">
        <f t="shared" si="0"/>
        <v>6.5</v>
      </c>
      <c r="E17" s="7">
        <v>224</v>
      </c>
      <c r="F17" s="10">
        <v>10.5</v>
      </c>
    </row>
    <row r="18" spans="1:6" x14ac:dyDescent="0.35">
      <c r="A18" s="9" t="s">
        <v>11</v>
      </c>
      <c r="B18" s="8" t="s">
        <v>35</v>
      </c>
      <c r="C18" s="7" t="s">
        <v>45</v>
      </c>
      <c r="D18" s="7">
        <f t="shared" si="0"/>
        <v>7</v>
      </c>
      <c r="E18" s="7">
        <v>226</v>
      </c>
      <c r="F18" s="10">
        <v>10</v>
      </c>
    </row>
    <row r="19" spans="1:6" x14ac:dyDescent="0.35">
      <c r="A19" s="9" t="s">
        <v>7</v>
      </c>
      <c r="B19" s="8" t="s">
        <v>37</v>
      </c>
      <c r="C19" s="7" t="s">
        <v>43</v>
      </c>
      <c r="D19" s="7">
        <f t="shared" si="0"/>
        <v>8</v>
      </c>
      <c r="E19" s="7">
        <v>236</v>
      </c>
      <c r="F19" s="10">
        <v>11.2</v>
      </c>
    </row>
    <row r="20" spans="1:6" x14ac:dyDescent="0.35">
      <c r="A20" s="9" t="s">
        <v>17</v>
      </c>
      <c r="B20" s="8" t="s">
        <v>34</v>
      </c>
      <c r="C20" s="7" t="s">
        <v>47</v>
      </c>
      <c r="D20" s="7">
        <f t="shared" si="0"/>
        <v>7.5</v>
      </c>
      <c r="E20" s="7">
        <v>238</v>
      </c>
      <c r="F20" s="10">
        <v>11.8</v>
      </c>
    </row>
    <row r="21" spans="1:6" x14ac:dyDescent="0.35">
      <c r="A21" s="9" t="s">
        <v>14</v>
      </c>
      <c r="B21" s="8" t="s">
        <v>34</v>
      </c>
      <c r="C21" s="7" t="s">
        <v>47</v>
      </c>
      <c r="D21" s="7">
        <f t="shared" si="0"/>
        <v>7.5</v>
      </c>
      <c r="E21" s="7">
        <v>242</v>
      </c>
      <c r="F21" s="10">
        <v>12.8</v>
      </c>
    </row>
    <row r="22" spans="1:6" x14ac:dyDescent="0.35">
      <c r="A22" s="9" t="s">
        <v>13</v>
      </c>
      <c r="B22" s="8" t="s">
        <v>34</v>
      </c>
      <c r="C22" s="7" t="s">
        <v>47</v>
      </c>
      <c r="D22" s="7">
        <f t="shared" si="0"/>
        <v>7.5</v>
      </c>
      <c r="E22" s="7">
        <v>248</v>
      </c>
      <c r="F22" s="10">
        <v>13</v>
      </c>
    </row>
    <row r="23" spans="1:6" x14ac:dyDescent="0.35">
      <c r="A23" s="9" t="s">
        <v>22</v>
      </c>
      <c r="B23" s="8" t="s">
        <v>38</v>
      </c>
      <c r="C23" s="7" t="s">
        <v>40</v>
      </c>
      <c r="D23" s="7">
        <f t="shared" si="0"/>
        <v>7</v>
      </c>
      <c r="E23" s="7">
        <v>272</v>
      </c>
      <c r="F23" s="10">
        <v>14</v>
      </c>
    </row>
    <row r="24" spans="1:6" x14ac:dyDescent="0.35">
      <c r="A24" s="9" t="s">
        <v>23</v>
      </c>
      <c r="B24" s="8" t="s">
        <v>35</v>
      </c>
      <c r="C24" s="7">
        <v>7</v>
      </c>
      <c r="D24" s="7">
        <v>7</v>
      </c>
      <c r="E24" s="7">
        <v>296</v>
      </c>
      <c r="F24" s="10">
        <v>15.5</v>
      </c>
    </row>
    <row r="25" spans="1:6" x14ac:dyDescent="0.35">
      <c r="A25" s="9" t="s">
        <v>8</v>
      </c>
      <c r="B25" s="8" t="s">
        <v>35</v>
      </c>
      <c r="C25" s="7" t="s">
        <v>41</v>
      </c>
      <c r="D25" s="7">
        <f t="shared" ref="D25:D32" si="1">(LEFT(C25,FIND("-",C25)-1)+MID(C25,FIND("-",C25)+1,10))/2</f>
        <v>6.75</v>
      </c>
      <c r="E25" s="7">
        <v>312</v>
      </c>
      <c r="F25" s="10">
        <v>14.5</v>
      </c>
    </row>
    <row r="26" spans="1:6" x14ac:dyDescent="0.35">
      <c r="A26" s="9" t="s">
        <v>16</v>
      </c>
      <c r="B26" s="8" t="s">
        <v>35</v>
      </c>
      <c r="C26" s="7" t="s">
        <v>48</v>
      </c>
      <c r="D26" s="7">
        <f t="shared" si="1"/>
        <v>6</v>
      </c>
      <c r="E26" s="7">
        <v>334</v>
      </c>
      <c r="F26" s="10">
        <v>16.5</v>
      </c>
    </row>
    <row r="27" spans="1:6" x14ac:dyDescent="0.35">
      <c r="A27" s="9" t="s">
        <v>26</v>
      </c>
      <c r="B27" s="8" t="s">
        <v>36</v>
      </c>
      <c r="C27" s="7" t="s">
        <v>50</v>
      </c>
      <c r="D27" s="7">
        <f t="shared" si="1"/>
        <v>5.95</v>
      </c>
      <c r="E27" s="7">
        <v>364</v>
      </c>
      <c r="F27" s="10">
        <v>19</v>
      </c>
    </row>
    <row r="28" spans="1:6" x14ac:dyDescent="0.35">
      <c r="A28" s="9" t="s">
        <v>10</v>
      </c>
      <c r="B28" s="8" t="s">
        <v>36</v>
      </c>
      <c r="C28" s="7" t="s">
        <v>44</v>
      </c>
      <c r="D28" s="7">
        <f t="shared" si="1"/>
        <v>5.75</v>
      </c>
      <c r="E28" s="7">
        <v>378</v>
      </c>
      <c r="F28" s="10">
        <v>18</v>
      </c>
    </row>
    <row r="29" spans="1:6" x14ac:dyDescent="0.35">
      <c r="A29" s="9" t="s">
        <v>28</v>
      </c>
      <c r="B29" s="8" t="s">
        <v>36</v>
      </c>
      <c r="C29" s="7" t="s">
        <v>51</v>
      </c>
      <c r="D29" s="7">
        <f t="shared" si="1"/>
        <v>5.25</v>
      </c>
      <c r="E29" s="7">
        <v>388</v>
      </c>
      <c r="F29" s="10">
        <v>21</v>
      </c>
    </row>
    <row r="30" spans="1:6" x14ac:dyDescent="0.35">
      <c r="A30" s="9" t="s">
        <v>12</v>
      </c>
      <c r="B30" s="8" t="s">
        <v>36</v>
      </c>
      <c r="C30" s="7" t="s">
        <v>46</v>
      </c>
      <c r="D30" s="7">
        <f t="shared" si="1"/>
        <v>5.2</v>
      </c>
      <c r="E30" s="7">
        <v>396</v>
      </c>
      <c r="F30" s="10">
        <v>20.5</v>
      </c>
    </row>
    <row r="31" spans="1:6" x14ac:dyDescent="0.35">
      <c r="A31" s="9" t="s">
        <v>29</v>
      </c>
      <c r="B31" s="8" t="s">
        <v>36</v>
      </c>
      <c r="C31" s="7" t="s">
        <v>44</v>
      </c>
      <c r="D31" s="7">
        <f t="shared" si="1"/>
        <v>5.75</v>
      </c>
      <c r="E31" s="7">
        <v>402</v>
      </c>
      <c r="F31" s="10">
        <v>20</v>
      </c>
    </row>
    <row r="32" spans="1:6" x14ac:dyDescent="0.35">
      <c r="A32" s="14" t="s">
        <v>19</v>
      </c>
      <c r="B32" s="15" t="s">
        <v>36</v>
      </c>
      <c r="C32" s="16" t="s">
        <v>49</v>
      </c>
      <c r="D32" s="16">
        <f t="shared" si="1"/>
        <v>6.25</v>
      </c>
      <c r="E32" s="16">
        <v>442</v>
      </c>
      <c r="F32" s="17">
        <v>22</v>
      </c>
    </row>
  </sheetData>
  <sortState ref="A2:F32">
    <sortCondition ref="E2:E32"/>
  </sortState>
  <conditionalFormatting sqref="A2:A32">
    <cfRule type="top10" dxfId="12" priority="2" rank="10"/>
    <cfRule type="top10" dxfId="11" priority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zoomScale="70" zoomScaleNormal="70" workbookViewId="0">
      <selection activeCell="C18" sqref="C18"/>
    </sheetView>
  </sheetViews>
  <sheetFormatPr defaultRowHeight="14.5" x14ac:dyDescent="0.35"/>
  <cols>
    <col min="2" max="2" width="21.7265625" customWidth="1"/>
    <col min="3" max="3" width="14.6328125" customWidth="1"/>
  </cols>
  <sheetData>
    <row r="1" spans="1:3" ht="31" x14ac:dyDescent="0.7">
      <c r="A1" s="1" t="s">
        <v>55</v>
      </c>
    </row>
    <row r="3" spans="1:3" ht="21" x14ac:dyDescent="0.5">
      <c r="B3" s="6" t="s">
        <v>56</v>
      </c>
      <c r="C3" s="5">
        <f>COUNTA('Soil Data'!A2:A32)</f>
        <v>31</v>
      </c>
    </row>
    <row r="4" spans="1:3" ht="21" x14ac:dyDescent="0.5">
      <c r="B4" s="6" t="s">
        <v>57</v>
      </c>
      <c r="C4" s="5">
        <f>ROUND(AVERAGE('Soil Data'!D2:D32),2)</f>
        <v>6.84</v>
      </c>
    </row>
    <row r="5" spans="1:3" ht="21" x14ac:dyDescent="0.5">
      <c r="B5" s="6" t="s">
        <v>58</v>
      </c>
      <c r="C5" s="5">
        <f>ROUND(AVERAGE('Soil Data'!E2:E32),1)</f>
        <v>253.9</v>
      </c>
    </row>
    <row r="6" spans="1:3" ht="21" x14ac:dyDescent="0.5">
      <c r="B6" s="6" t="s">
        <v>59</v>
      </c>
      <c r="C6" s="5">
        <f>ROUND(AVERAGE('Soil Data'!F2:F32),1)</f>
        <v>12.4</v>
      </c>
    </row>
    <row r="7" spans="1:3" ht="21" x14ac:dyDescent="0.5">
      <c r="B7" s="6" t="s">
        <v>60</v>
      </c>
      <c r="C7" s="5" t="s">
        <v>63</v>
      </c>
    </row>
    <row r="9" spans="1:3" x14ac:dyDescent="0.35">
      <c r="B9" s="2" t="s">
        <v>62</v>
      </c>
      <c r="C9" t="s">
        <v>64</v>
      </c>
    </row>
    <row r="10" spans="1:3" x14ac:dyDescent="0.35">
      <c r="B10" s="3" t="s">
        <v>34</v>
      </c>
      <c r="C10" s="4">
        <v>9</v>
      </c>
    </row>
    <row r="11" spans="1:3" x14ac:dyDescent="0.35">
      <c r="B11" s="3" t="s">
        <v>37</v>
      </c>
      <c r="C11" s="4">
        <v>1</v>
      </c>
    </row>
    <row r="12" spans="1:3" x14ac:dyDescent="0.35">
      <c r="B12" s="3" t="s">
        <v>36</v>
      </c>
      <c r="C12" s="4">
        <v>7</v>
      </c>
    </row>
    <row r="13" spans="1:3" x14ac:dyDescent="0.35">
      <c r="B13" s="3" t="s">
        <v>38</v>
      </c>
      <c r="C13" s="4">
        <v>2</v>
      </c>
    </row>
    <row r="14" spans="1:3" x14ac:dyDescent="0.35">
      <c r="B14" s="3" t="s">
        <v>35</v>
      </c>
      <c r="C14" s="4">
        <v>12</v>
      </c>
    </row>
    <row r="15" spans="1:3" x14ac:dyDescent="0.35">
      <c r="B15" s="3" t="s">
        <v>61</v>
      </c>
      <c r="C15" s="4">
        <v>31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 Data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Dhobale</dc:creator>
  <cp:lastModifiedBy>Omkar Dhobale</cp:lastModifiedBy>
  <dcterms:created xsi:type="dcterms:W3CDTF">2025-12-04T13:01:26Z</dcterms:created>
  <dcterms:modified xsi:type="dcterms:W3CDTF">2026-09-07T07:48:38Z</dcterms:modified>
</cp:coreProperties>
</file>